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uvmoffice.sharepoint.com/sites/SEEDTeam485/Shared Documents/General/End of year sprint/Documentation/Mechanical/"/>
    </mc:Choice>
  </mc:AlternateContent>
  <xr:revisionPtr revIDLastSave="436" documentId="8_{34690659-F278-4F5B-93A0-E4049C8086F7}" xr6:coauthVersionLast="47" xr6:coauthVersionMax="47" xr10:uidLastSave="{7D73FF6B-C303-4636-A570-3F3EF68B0D08}"/>
  <bookViews>
    <workbookView minimized="1" xWindow="1608" yWindow="3156" windowWidth="21528" windowHeight="9576" firstSheet="2" activeTab="2" xr2:uid="{00000000-000D-0000-FFFF-FFFF00000000}"/>
  </bookViews>
  <sheets>
    <sheet name="Cover" sheetId="4" r:id="rId1"/>
    <sheet name="Instructions" sheetId="2" r:id="rId2"/>
    <sheet name="BoM - Mechanical" sheetId="6" r:id="rId3"/>
    <sheet name="BoM - Example" sheetId="1" r:id="rId4"/>
  </sheets>
  <definedNames>
    <definedName name="MOTOR_DATA" localSheetId="2">#REF!</definedName>
    <definedName name="MOTOR_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6" l="1"/>
  <c r="K28" i="6"/>
  <c r="K29" i="6"/>
  <c r="K23" i="6"/>
  <c r="K31" i="6"/>
  <c r="K32" i="6"/>
  <c r="K33" i="6"/>
  <c r="K30" i="6"/>
  <c r="K37" i="6"/>
  <c r="K38" i="6"/>
  <c r="K39" i="6"/>
  <c r="K40" i="6"/>
  <c r="K41" i="6"/>
  <c r="K42" i="6"/>
  <c r="K43" i="6"/>
  <c r="K44" i="6"/>
  <c r="K45" i="6"/>
  <c r="K46" i="6"/>
  <c r="K27" i="6"/>
  <c r="K19" i="6"/>
  <c r="K9" i="6"/>
  <c r="K34" i="6"/>
  <c r="K35" i="6"/>
  <c r="K36" i="6"/>
  <c r="K4" i="6"/>
  <c r="K5" i="6"/>
  <c r="K6" i="6"/>
  <c r="K8" i="6"/>
  <c r="K24" i="6"/>
  <c r="K26" i="6"/>
  <c r="K10" i="6"/>
  <c r="K15" i="6"/>
  <c r="K17" i="6"/>
  <c r="K18" i="6"/>
  <c r="K16" i="6"/>
  <c r="K12" i="6"/>
  <c r="K13" i="6"/>
  <c r="K22" i="6" l="1"/>
  <c r="K11" i="6"/>
  <c r="K14" i="6"/>
  <c r="K20" i="6"/>
  <c r="K21" i="6"/>
  <c r="K3" i="6"/>
  <c r="K25" i="6"/>
  <c r="K9" i="1"/>
  <c r="K19" i="1"/>
  <c r="J11" i="1"/>
  <c r="K11" i="1" s="1"/>
  <c r="K8" i="1"/>
  <c r="J3" i="1"/>
  <c r="K3" i="1" s="1"/>
</calcChain>
</file>

<file path=xl/sharedStrings.xml><?xml version="1.0" encoding="utf-8"?>
<sst xmlns="http://schemas.openxmlformats.org/spreadsheetml/2006/main" count="261" uniqueCount="139">
  <si>
    <t>Project 485 - Autonomous Weeding Robot</t>
  </si>
  <si>
    <t>Bill of Materials</t>
  </si>
  <si>
    <t>Revision History</t>
  </si>
  <si>
    <t>Revision</t>
  </si>
  <si>
    <t>Date</t>
  </si>
  <si>
    <t>Description of Change</t>
  </si>
  <si>
    <t>A</t>
  </si>
  <si>
    <t>Release for class use</t>
  </si>
  <si>
    <t>Item Number</t>
  </si>
  <si>
    <t>Sequential Number for referencing.  You can use "." to create sub assemblies to match your assembly structure.</t>
  </si>
  <si>
    <t>Custom Part Number</t>
  </si>
  <si>
    <t>Unique part numbering system created by your project.  This allows for you to use alternate mfg parts without changing you drawings.
Example:  1000, 1001, 1002…
All drawings you create should have PN's if they are manufactured, assembled, etc.</t>
  </si>
  <si>
    <t>Qnty</t>
  </si>
  <si>
    <t>Quantity used in the assembly</t>
  </si>
  <si>
    <t>Part/Assembly</t>
  </si>
  <si>
    <t>Identify if this is a part or an assembly in your BoM.</t>
  </si>
  <si>
    <t>Part Description</t>
  </si>
  <si>
    <t>Description of part</t>
  </si>
  <si>
    <t>MFG</t>
  </si>
  <si>
    <t>Part manufacturer</t>
  </si>
  <si>
    <t>MFG Part Number</t>
  </si>
  <si>
    <t>Manufacturer part number</t>
  </si>
  <si>
    <t>Misc. Information</t>
  </si>
  <si>
    <t>Any helpful information about the part/assembly</t>
  </si>
  <si>
    <t>$/Unit</t>
  </si>
  <si>
    <t>Cost / unit of the part or assembly</t>
  </si>
  <si>
    <t>Cost</t>
  </si>
  <si>
    <t>Extended cost for the parts or assembly used.  Ensure you don't double count total BoM costs.</t>
  </si>
  <si>
    <t>Supporting documentation</t>
  </si>
  <si>
    <t>Part / Assembly</t>
  </si>
  <si>
    <t>$/unit</t>
  </si>
  <si>
    <t>Total
Cost</t>
  </si>
  <si>
    <t>Vendor</t>
  </si>
  <si>
    <t>Notes</t>
  </si>
  <si>
    <t xml:space="preserve">Assembly </t>
  </si>
  <si>
    <t>Lead Screw and Support Kit</t>
  </si>
  <si>
    <t>NUIBBYED</t>
  </si>
  <si>
    <t>Amazon</t>
  </si>
  <si>
    <t>Lead Screw</t>
  </si>
  <si>
    <t>Price/part included in kit (Assembly 10)</t>
  </si>
  <si>
    <t>Linear Beam</t>
  </si>
  <si>
    <t>Lead Screw Support</t>
  </si>
  <si>
    <t xml:space="preserve">Linear Beam Support </t>
  </si>
  <si>
    <t xml:space="preserve">Lead Screw Support Spacer </t>
  </si>
  <si>
    <t xml:space="preserve">Robot Base </t>
  </si>
  <si>
    <t xml:space="preserve">Lynxmotion </t>
  </si>
  <si>
    <t>A4WD3-WH-KT</t>
  </si>
  <si>
    <t>RobotShop</t>
  </si>
  <si>
    <t xml:space="preserve">Extursion Box </t>
  </si>
  <si>
    <t>Consists of Parts: 30.1,30.2,30.3,30.4</t>
  </si>
  <si>
    <t>Part</t>
  </si>
  <si>
    <t>11.375" Aluminum Extrusion 20x20</t>
  </si>
  <si>
    <t>McMasterCarr</t>
  </si>
  <si>
    <t>5537T101</t>
  </si>
  <si>
    <t>7.9132" Aluminum Extrusion 20x20</t>
  </si>
  <si>
    <t>10.4252" Aluminum Extrusion 20x20</t>
  </si>
  <si>
    <t>20 Set Aluminum Corner Bracket Kit</t>
  </si>
  <si>
    <t xml:space="preserve">Core Robot Assembly </t>
  </si>
  <si>
    <t>0.09" Aluminum Sheets (11.375"x9.488")</t>
  </si>
  <si>
    <t>OnlineMetals</t>
  </si>
  <si>
    <t>0.09" Aluminum Sheets (11.375"x12")</t>
  </si>
  <si>
    <t>0.09" Aluminum Sheets (12"x9.488")</t>
  </si>
  <si>
    <t xml:space="preserve">Flat L- Bracket </t>
  </si>
  <si>
    <t>RELIABILT</t>
  </si>
  <si>
    <t>Lowes</t>
  </si>
  <si>
    <t>Krylon Green Spray Paint</t>
  </si>
  <si>
    <t>Krylon</t>
  </si>
  <si>
    <t>Krylon Yellow Spray Paint</t>
  </si>
  <si>
    <t>High Visibility Tape</t>
  </si>
  <si>
    <t>WENFUMUSIC</t>
  </si>
  <si>
    <t>Core Robot With Extremities</t>
  </si>
  <si>
    <t xml:space="preserve">Multi Tool Tounge </t>
  </si>
  <si>
    <t>FabLab</t>
  </si>
  <si>
    <t>3D Printed in FabLab Self Serve</t>
  </si>
  <si>
    <t>Quick Release Pins (2 pack)</t>
  </si>
  <si>
    <t>VXCICC</t>
  </si>
  <si>
    <t xml:space="preserve">Electronics Holder </t>
  </si>
  <si>
    <t xml:space="preserve">RealSense Camera  </t>
  </si>
  <si>
    <t>Intel</t>
  </si>
  <si>
    <t>D435</t>
  </si>
  <si>
    <t xml:space="preserve">Part  </t>
  </si>
  <si>
    <t>RealSense Camera Mount</t>
  </si>
  <si>
    <t>ArduCam Mount</t>
  </si>
  <si>
    <t xml:space="preserve">ArduCam  </t>
  </si>
  <si>
    <t>Arducam</t>
  </si>
  <si>
    <t>Auger Shell</t>
  </si>
  <si>
    <t xml:space="preserve">Machine Shop </t>
  </si>
  <si>
    <t>Whole Mechanical Auger</t>
  </si>
  <si>
    <t>Auger Bit</t>
  </si>
  <si>
    <t>DEEGETEL</t>
  </si>
  <si>
    <t>CMOS IMX179</t>
  </si>
  <si>
    <t xml:space="preserve">Time of Flight </t>
  </si>
  <si>
    <t>SparkFun</t>
  </si>
  <si>
    <t>SparkFun_VL53L1X</t>
  </si>
  <si>
    <t xml:space="preserve">Limit Switch </t>
  </si>
  <si>
    <t>LiebeWH</t>
  </si>
  <si>
    <t>Stepper Motor</t>
  </si>
  <si>
    <t>Phidgets</t>
  </si>
  <si>
    <t>3327_0</t>
  </si>
  <si>
    <t>Assembly</t>
  </si>
  <si>
    <t>Motor Assembly</t>
  </si>
  <si>
    <t>part</t>
  </si>
  <si>
    <t>24V motor</t>
  </si>
  <si>
    <t>Acme Corp</t>
  </si>
  <si>
    <t>Digikey</t>
  </si>
  <si>
    <t>5V quadrature encoder</t>
  </si>
  <si>
    <t>US Digital</t>
  </si>
  <si>
    <t>M4 Set screw</t>
  </si>
  <si>
    <t>Fastenal</t>
  </si>
  <si>
    <t>McMaster</t>
  </si>
  <si>
    <t>Skateboard chassis</t>
  </si>
  <si>
    <t>Custom</t>
  </si>
  <si>
    <t>n/a</t>
  </si>
  <si>
    <t>Indie</t>
  </si>
  <si>
    <t>long lead time generally</t>
  </si>
  <si>
    <t>Grip tape</t>
  </si>
  <si>
    <t>TapeR</t>
  </si>
  <si>
    <t>G-345-H</t>
  </si>
  <si>
    <t>Battery Holder Assembly</t>
  </si>
  <si>
    <t>Battery</t>
  </si>
  <si>
    <t>Powersonic</t>
  </si>
  <si>
    <t>56R4512</t>
  </si>
  <si>
    <t>PowerSonic</t>
  </si>
  <si>
    <t>shipping limitations due to hazardous substances</t>
  </si>
  <si>
    <t>Battery Holder</t>
  </si>
  <si>
    <t>M6 x 30mm</t>
  </si>
  <si>
    <t>12AWG Wire, Red</t>
  </si>
  <si>
    <t>Polar Wire</t>
  </si>
  <si>
    <t>R12-100</t>
  </si>
  <si>
    <t>General Wire</t>
  </si>
  <si>
    <t>min buy of 100'</t>
  </si>
  <si>
    <t>12AWG wire, Black</t>
  </si>
  <si>
    <t>B12-100</t>
  </si>
  <si>
    <t>20A, 120Vac male connector</t>
  </si>
  <si>
    <t>Molex</t>
  </si>
  <si>
    <t>M45-34</t>
  </si>
  <si>
    <t>Gorilla Glue</t>
  </si>
  <si>
    <t>Xcom</t>
  </si>
  <si>
    <t>HomeDepot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</si>
</sst>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6" fontId="0" fillId="0" borderId="1" xfId="1" applyNumberFormat="1" applyFont="1" applyBorder="1"/>
    <xf numFmtId="0" fontId="4" fillId="0" borderId="0" xfId="2"/>
    <xf numFmtId="0" fontId="5" fillId="0" borderId="0" xfId="2" applyFont="1" applyAlignment="1">
      <alignment horizontal="left" vertical="top" wrapText="1"/>
    </xf>
    <xf numFmtId="0" fontId="4" fillId="0" borderId="0" xfId="2" applyAlignment="1">
      <alignment vertical="top" wrapText="1"/>
    </xf>
    <xf numFmtId="0" fontId="5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vertical="top" wrapText="1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4" fillId="0" borderId="9" xfId="2" applyBorder="1" applyAlignment="1">
      <alignment horizontal="center" vertical="center" wrapText="1"/>
    </xf>
    <xf numFmtId="14" fontId="4" fillId="0" borderId="10" xfId="2" applyNumberFormat="1" applyBorder="1" applyAlignment="1">
      <alignment horizontal="center" vertical="center" wrapText="1"/>
    </xf>
    <xf numFmtId="0" fontId="4" fillId="0" borderId="13" xfId="2" applyBorder="1" applyAlignment="1">
      <alignment horizontal="center" vertical="center" wrapText="1"/>
    </xf>
    <xf numFmtId="0" fontId="4" fillId="0" borderId="14" xfId="2" applyBorder="1" applyAlignment="1">
      <alignment horizontal="center" vertical="center" wrapText="1"/>
    </xf>
    <xf numFmtId="0" fontId="4" fillId="0" borderId="18" xfId="2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4" fillId="0" borderId="19" xfId="2" applyBorder="1" applyAlignment="1">
      <alignment horizontal="center" vertical="center" wrapText="1"/>
    </xf>
    <xf numFmtId="0" fontId="4" fillId="0" borderId="20" xfId="2" applyBorder="1" applyAlignment="1">
      <alignment horizontal="center" vertical="center" wrapText="1"/>
    </xf>
    <xf numFmtId="0" fontId="7" fillId="0" borderId="0" xfId="2" applyFont="1" applyAlignment="1">
      <alignment horizontal="justify" vertical="top" wrapText="1"/>
    </xf>
    <xf numFmtId="0" fontId="7" fillId="0" borderId="0" xfId="2" applyFont="1" applyAlignment="1">
      <alignment horizontal="center" vertical="top" wrapText="1"/>
    </xf>
    <xf numFmtId="0" fontId="2" fillId="0" borderId="0" xfId="0" applyFont="1"/>
    <xf numFmtId="0" fontId="9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4" fontId="0" fillId="0" borderId="1" xfId="0" applyNumberFormat="1" applyBorder="1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23" xfId="0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8" fontId="0" fillId="0" borderId="1" xfId="1" applyNumberFormat="1" applyFon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/>
    </xf>
    <xf numFmtId="0" fontId="0" fillId="2" borderId="0" xfId="0" applyFill="1"/>
    <xf numFmtId="44" fontId="0" fillId="2" borderId="1" xfId="1" applyFont="1" applyFill="1" applyBorder="1"/>
    <xf numFmtId="44" fontId="0" fillId="2" borderId="1" xfId="0" applyNumberFormat="1" applyFill="1" applyBorder="1"/>
    <xf numFmtId="8" fontId="0" fillId="2" borderId="1" xfId="1" applyNumberFormat="1" applyFont="1" applyFill="1" applyBorder="1"/>
    <xf numFmtId="164" fontId="0" fillId="0" borderId="1" xfId="0" applyNumberFormat="1" applyBorder="1"/>
    <xf numFmtId="0" fontId="4" fillId="0" borderId="21" xfId="2" applyBorder="1" applyAlignment="1">
      <alignment horizontal="left" vertical="center" wrapText="1"/>
    </xf>
    <xf numFmtId="0" fontId="4" fillId="0" borderId="22" xfId="2" applyBorder="1" applyAlignment="1">
      <alignment horizontal="left" vertical="center" wrapText="1"/>
    </xf>
    <xf numFmtId="0" fontId="4" fillId="0" borderId="3" xfId="2" applyBorder="1" applyAlignment="1">
      <alignment horizontal="left" vertical="center" wrapText="1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left" vertical="center" wrapText="1" indent="1"/>
    </xf>
    <xf numFmtId="0" fontId="8" fillId="0" borderId="7" xfId="2" applyFont="1" applyBorder="1" applyAlignment="1">
      <alignment horizontal="left" vertical="center" wrapText="1" indent="1"/>
    </xf>
    <xf numFmtId="0" fontId="8" fillId="0" borderId="8" xfId="2" applyFont="1" applyBorder="1" applyAlignment="1">
      <alignment horizontal="left" vertical="center" wrapText="1" indent="1"/>
    </xf>
    <xf numFmtId="0" fontId="4" fillId="0" borderId="11" xfId="2" applyBorder="1" applyAlignment="1">
      <alignment horizontal="left" vertical="center" wrapText="1"/>
    </xf>
    <xf numFmtId="0" fontId="4" fillId="0" borderId="12" xfId="2" applyBorder="1" applyAlignment="1">
      <alignment horizontal="left" vertical="center" wrapText="1"/>
    </xf>
    <xf numFmtId="0" fontId="4" fillId="0" borderId="2" xfId="2" applyBorder="1" applyAlignment="1">
      <alignment horizontal="left" vertical="center" wrapText="1"/>
    </xf>
    <xf numFmtId="0" fontId="4" fillId="0" borderId="15" xfId="2" applyBorder="1" applyAlignment="1">
      <alignment horizontal="left" vertical="center" wrapText="1"/>
    </xf>
    <xf numFmtId="0" fontId="4" fillId="0" borderId="16" xfId="2" applyBorder="1" applyAlignment="1">
      <alignment horizontal="left" vertical="center" wrapText="1"/>
    </xf>
    <xf numFmtId="0" fontId="4" fillId="0" borderId="17" xfId="2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0" xfId="0" applyFill="1"/>
    <xf numFmtId="8" fontId="0" fillId="0" borderId="1" xfId="1" applyNumberFormat="1" applyFont="1" applyFill="1" applyBorder="1"/>
    <xf numFmtId="44" fontId="0" fillId="0" borderId="1" xfId="0" applyNumberFormat="1" applyFill="1" applyBorder="1"/>
    <xf numFmtId="0" fontId="0" fillId="0" borderId="1" xfId="0" applyFill="1" applyBorder="1" applyAlignment="1">
      <alignment wrapText="1"/>
    </xf>
    <xf numFmtId="44" fontId="0" fillId="0" borderId="1" xfId="1" applyFont="1" applyFill="1" applyBorder="1"/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phidgets.com/?prodid=346&amp;srsltid=AfmBOooFWXo8dapjC8R9jIE6-4_0_HW-qppZKIK4A8caOusE66_Xe7N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2"/>
  <sheetViews>
    <sheetView showGridLines="0" topLeftCell="A4" zoomScaleNormal="100" zoomScaleSheetLayoutView="75" workbookViewId="0">
      <selection activeCell="H12" sqref="H12"/>
    </sheetView>
  </sheetViews>
  <sheetFormatPr defaultColWidth="9.140625" defaultRowHeight="13.15"/>
  <cols>
    <col min="1" max="2" width="1.7109375" style="7" customWidth="1"/>
    <col min="3" max="3" width="11.140625" style="7" customWidth="1"/>
    <col min="4" max="4" width="16.140625" style="7" customWidth="1"/>
    <col min="5" max="5" width="11.140625" style="7" customWidth="1"/>
    <col min="6" max="6" width="10.28515625" style="7" customWidth="1"/>
    <col min="7" max="7" width="13.7109375" style="7" customWidth="1"/>
    <col min="8" max="8" width="22.85546875" style="7" customWidth="1"/>
    <col min="9" max="9" width="1.7109375" style="7" customWidth="1"/>
    <col min="10" max="16384" width="9.140625" style="7"/>
  </cols>
  <sheetData>
    <row r="6" spans="2:8" ht="15.6">
      <c r="C6" s="8"/>
      <c r="D6" s="8"/>
      <c r="E6" s="8"/>
      <c r="F6" s="8"/>
      <c r="G6" s="8"/>
      <c r="H6" s="8"/>
    </row>
    <row r="7" spans="2:8" ht="15.6">
      <c r="C7" s="8"/>
      <c r="D7" s="8"/>
      <c r="E7" s="8"/>
      <c r="F7" s="8"/>
      <c r="G7" s="8"/>
      <c r="H7" s="8"/>
    </row>
    <row r="8" spans="2:8" ht="34.5" customHeight="1">
      <c r="B8" s="49" t="s">
        <v>0</v>
      </c>
      <c r="C8" s="49"/>
      <c r="D8" s="49"/>
      <c r="E8" s="49"/>
      <c r="F8" s="49"/>
      <c r="G8" s="49"/>
      <c r="H8" s="49"/>
    </row>
    <row r="9" spans="2:8" ht="35.450000000000003" customHeight="1">
      <c r="B9" s="50" t="s">
        <v>1</v>
      </c>
      <c r="C9" s="50"/>
      <c r="D9" s="50"/>
      <c r="E9" s="50"/>
      <c r="F9" s="50"/>
      <c r="G9" s="50"/>
      <c r="H9" s="50"/>
    </row>
    <row r="10" spans="2:8" ht="26.1" customHeight="1">
      <c r="B10" s="9"/>
      <c r="C10" s="9"/>
      <c r="D10" s="9"/>
    </row>
    <row r="11" spans="2:8" ht="30.2" customHeight="1">
      <c r="C11" s="12"/>
      <c r="D11" s="12"/>
      <c r="E11" s="12"/>
      <c r="F11" s="12"/>
      <c r="G11" s="12"/>
      <c r="H11" s="12"/>
    </row>
    <row r="12" spans="2:8" ht="30.2" customHeight="1" thickBot="1">
      <c r="B12" s="10" t="s">
        <v>2</v>
      </c>
      <c r="D12" s="11"/>
      <c r="E12" s="11"/>
      <c r="F12" s="11"/>
      <c r="G12" s="11"/>
      <c r="H12" s="11"/>
    </row>
    <row r="13" spans="2:8" ht="30.2" customHeight="1" thickBot="1">
      <c r="C13" s="13" t="s">
        <v>3</v>
      </c>
      <c r="D13" s="14" t="s">
        <v>4</v>
      </c>
      <c r="E13" s="51" t="s">
        <v>5</v>
      </c>
      <c r="F13" s="52"/>
      <c r="G13" s="53"/>
    </row>
    <row r="14" spans="2:8" ht="39.200000000000003" customHeight="1">
      <c r="C14" s="15" t="s">
        <v>6</v>
      </c>
      <c r="D14" s="16">
        <v>43495</v>
      </c>
      <c r="E14" s="54" t="s">
        <v>7</v>
      </c>
      <c r="F14" s="55"/>
      <c r="G14" s="56"/>
    </row>
    <row r="15" spans="2:8" ht="39.200000000000003" customHeight="1">
      <c r="C15" s="17"/>
      <c r="D15" s="18"/>
      <c r="E15" s="57"/>
      <c r="F15" s="58"/>
      <c r="G15" s="59"/>
    </row>
    <row r="16" spans="2:8" ht="39.200000000000003" customHeight="1">
      <c r="C16" s="17"/>
      <c r="D16" s="18"/>
      <c r="E16" s="57"/>
      <c r="F16" s="58"/>
      <c r="G16" s="59"/>
    </row>
    <row r="17" spans="3:8" ht="39.200000000000003" customHeight="1">
      <c r="C17" s="17"/>
      <c r="D17" s="18"/>
      <c r="E17" s="57"/>
      <c r="F17" s="58"/>
      <c r="G17" s="59"/>
    </row>
    <row r="18" spans="3:8" ht="39.200000000000003" customHeight="1">
      <c r="C18" s="19"/>
      <c r="D18" s="20"/>
      <c r="E18" s="57"/>
      <c r="F18" s="58"/>
      <c r="G18" s="59"/>
    </row>
    <row r="19" spans="3:8" ht="39.200000000000003" customHeight="1">
      <c r="C19" s="19"/>
      <c r="D19" s="20"/>
      <c r="E19" s="57"/>
      <c r="F19" s="58"/>
      <c r="G19" s="59"/>
    </row>
    <row r="20" spans="3:8" ht="39.200000000000003" customHeight="1" thickBot="1">
      <c r="C20" s="21"/>
      <c r="D20" s="22"/>
      <c r="E20" s="46"/>
      <c r="F20" s="47"/>
      <c r="G20" s="48"/>
    </row>
    <row r="21" spans="3:8" ht="15">
      <c r="C21" s="23"/>
      <c r="D21" s="23"/>
      <c r="E21" s="23"/>
      <c r="F21" s="23"/>
      <c r="G21" s="24"/>
      <c r="H21" s="24"/>
    </row>
    <row r="22" spans="3:8" ht="15">
      <c r="C22" s="23"/>
      <c r="D22" s="23"/>
      <c r="E22" s="23"/>
      <c r="F22" s="23"/>
      <c r="G22" s="24"/>
      <c r="H22" s="24"/>
    </row>
  </sheetData>
  <mergeCells count="10">
    <mergeCell ref="E20:G20"/>
    <mergeCell ref="B8:H8"/>
    <mergeCell ref="B9:H9"/>
    <mergeCell ref="E13:G13"/>
    <mergeCell ref="E14:G14"/>
    <mergeCell ref="E15:G15"/>
    <mergeCell ref="E16:G16"/>
    <mergeCell ref="E17:G17"/>
    <mergeCell ref="E18:G18"/>
    <mergeCell ref="E19:G19"/>
  </mergeCells>
  <pageMargins left="0.5" right="0.5" top="0.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" sqref="B1"/>
    </sheetView>
  </sheetViews>
  <sheetFormatPr defaultRowHeight="14.45"/>
  <cols>
    <col min="1" max="1" width="17.42578125" style="32" bestFit="1" customWidth="1"/>
    <col min="2" max="2" width="53" customWidth="1"/>
  </cols>
  <sheetData>
    <row r="1" spans="1:2" ht="28.9">
      <c r="A1" s="31" t="s">
        <v>8</v>
      </c>
      <c r="B1" s="29" t="s">
        <v>9</v>
      </c>
    </row>
    <row r="2" spans="1:2" ht="86.45">
      <c r="A2" s="31" t="s">
        <v>10</v>
      </c>
      <c r="B2" s="29" t="s">
        <v>11</v>
      </c>
    </row>
    <row r="3" spans="1:2">
      <c r="A3" s="31" t="s">
        <v>12</v>
      </c>
      <c r="B3" s="28" t="s">
        <v>13</v>
      </c>
    </row>
    <row r="4" spans="1:2">
      <c r="A4" s="31" t="s">
        <v>14</v>
      </c>
      <c r="B4" s="29" t="s">
        <v>15</v>
      </c>
    </row>
    <row r="5" spans="1:2">
      <c r="A5" s="31" t="s">
        <v>16</v>
      </c>
      <c r="B5" s="28" t="s">
        <v>17</v>
      </c>
    </row>
    <row r="6" spans="1:2">
      <c r="A6" s="31" t="s">
        <v>18</v>
      </c>
      <c r="B6" s="28" t="s">
        <v>19</v>
      </c>
    </row>
    <row r="7" spans="1:2">
      <c r="A7" s="31" t="s">
        <v>20</v>
      </c>
      <c r="B7" s="28" t="s">
        <v>21</v>
      </c>
    </row>
    <row r="8" spans="1:2">
      <c r="A8" s="31" t="s">
        <v>22</v>
      </c>
      <c r="B8" s="28" t="s">
        <v>23</v>
      </c>
    </row>
    <row r="9" spans="1:2">
      <c r="A9" s="31" t="s">
        <v>24</v>
      </c>
      <c r="B9" s="28" t="s">
        <v>25</v>
      </c>
    </row>
    <row r="10" spans="1:2" ht="28.9">
      <c r="A10" s="31" t="s">
        <v>26</v>
      </c>
      <c r="B10" s="29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tabSelected="1" topLeftCell="F14" workbookViewId="0">
      <selection activeCell="A33" sqref="A33:XFD35"/>
    </sheetView>
  </sheetViews>
  <sheetFormatPr defaultRowHeight="14.45"/>
  <cols>
    <col min="1" max="1" width="8.28515625" customWidth="1"/>
    <col min="2" max="2" width="12.5703125" customWidth="1"/>
    <col min="4" max="4" width="9.5703125" customWidth="1"/>
    <col min="5" max="5" width="36.85546875" customWidth="1"/>
    <col min="6" max="6" width="14" customWidth="1"/>
    <col min="7" max="7" width="17.5703125" style="34" customWidth="1"/>
    <col min="8" max="8" width="37.140625" customWidth="1"/>
    <col min="9" max="9" width="2.140625" customWidth="1"/>
    <col min="12" max="12" width="2.140625" customWidth="1"/>
    <col min="13" max="13" width="15" customWidth="1"/>
    <col min="14" max="14" width="49.28515625" customWidth="1"/>
  </cols>
  <sheetData>
    <row r="1" spans="1:14" ht="23.45">
      <c r="A1" s="1" t="s">
        <v>1</v>
      </c>
      <c r="B1" s="1"/>
      <c r="J1" s="26" t="s">
        <v>26</v>
      </c>
      <c r="M1" s="26" t="s">
        <v>28</v>
      </c>
    </row>
    <row r="2" spans="1:14" ht="30.75">
      <c r="A2" s="2" t="s">
        <v>8</v>
      </c>
      <c r="B2" s="2" t="s">
        <v>10</v>
      </c>
      <c r="C2" s="2" t="s">
        <v>12</v>
      </c>
      <c r="D2" s="2" t="s">
        <v>29</v>
      </c>
      <c r="E2" s="3" t="s">
        <v>16</v>
      </c>
      <c r="F2" s="3" t="s">
        <v>18</v>
      </c>
      <c r="G2" s="35" t="s">
        <v>20</v>
      </c>
      <c r="H2" s="2" t="s">
        <v>22</v>
      </c>
      <c r="I2" s="25"/>
      <c r="J2" s="3" t="s">
        <v>30</v>
      </c>
      <c r="K2" s="2" t="s">
        <v>31</v>
      </c>
      <c r="L2" s="25"/>
      <c r="M2" s="3" t="s">
        <v>32</v>
      </c>
      <c r="N2" s="3" t="s">
        <v>33</v>
      </c>
    </row>
    <row r="3" spans="1:14" ht="15">
      <c r="A3" s="38">
        <v>10</v>
      </c>
      <c r="B3" s="38">
        <v>1002</v>
      </c>
      <c r="C3" s="38">
        <v>1</v>
      </c>
      <c r="D3" s="39" t="s">
        <v>34</v>
      </c>
      <c r="E3" s="38" t="s">
        <v>35</v>
      </c>
      <c r="F3" s="38" t="s">
        <v>36</v>
      </c>
      <c r="G3" s="40"/>
      <c r="H3" s="38"/>
      <c r="I3" s="41"/>
      <c r="J3" s="42">
        <v>29.99</v>
      </c>
      <c r="K3" s="43">
        <f>C3*J3</f>
        <v>29.99</v>
      </c>
      <c r="L3" s="41"/>
      <c r="M3" s="38" t="s">
        <v>37</v>
      </c>
      <c r="N3" s="38"/>
    </row>
    <row r="4" spans="1:14" s="62" customFormat="1" ht="15">
      <c r="A4" s="60">
        <v>10.1</v>
      </c>
      <c r="B4" s="60">
        <v>1021</v>
      </c>
      <c r="C4" s="60">
        <v>1</v>
      </c>
      <c r="D4" s="60"/>
      <c r="E4" s="60" t="s">
        <v>38</v>
      </c>
      <c r="F4" s="60" t="s">
        <v>36</v>
      </c>
      <c r="G4" s="61"/>
      <c r="H4" s="61"/>
      <c r="J4" s="63"/>
      <c r="K4" s="64">
        <f>C4*J4</f>
        <v>0</v>
      </c>
      <c r="M4" s="60" t="s">
        <v>37</v>
      </c>
      <c r="N4" s="60" t="s">
        <v>39</v>
      </c>
    </row>
    <row r="5" spans="1:14" ht="15">
      <c r="A5" s="4">
        <v>10.199999999999999</v>
      </c>
      <c r="B5" s="4">
        <v>1022</v>
      </c>
      <c r="C5" s="4">
        <v>1</v>
      </c>
      <c r="D5" s="4"/>
      <c r="E5" s="4" t="s">
        <v>40</v>
      </c>
      <c r="F5" s="4" t="s">
        <v>36</v>
      </c>
      <c r="G5" s="36"/>
      <c r="H5" s="36"/>
      <c r="J5" s="37"/>
      <c r="K5" s="30">
        <f>C5*J5</f>
        <v>0</v>
      </c>
      <c r="M5" s="4" t="s">
        <v>37</v>
      </c>
      <c r="N5" s="4" t="s">
        <v>39</v>
      </c>
    </row>
    <row r="6" spans="1:14" ht="15">
      <c r="A6" s="4">
        <v>10.3</v>
      </c>
      <c r="B6" s="4">
        <v>1023</v>
      </c>
      <c r="C6" s="4">
        <v>2</v>
      </c>
      <c r="D6" s="4"/>
      <c r="E6" s="4" t="s">
        <v>41</v>
      </c>
      <c r="F6" s="4" t="s">
        <v>36</v>
      </c>
      <c r="G6" s="36"/>
      <c r="H6" s="36"/>
      <c r="J6" s="37"/>
      <c r="K6" s="30">
        <f>C6*J6</f>
        <v>0</v>
      </c>
      <c r="M6" s="4" t="s">
        <v>37</v>
      </c>
      <c r="N6" s="4" t="s">
        <v>39</v>
      </c>
    </row>
    <row r="7" spans="1:14" ht="15">
      <c r="A7" s="4">
        <v>10.4</v>
      </c>
      <c r="B7" s="4">
        <v>1024</v>
      </c>
      <c r="C7" s="4">
        <v>2</v>
      </c>
      <c r="D7" s="4"/>
      <c r="E7" s="4" t="s">
        <v>42</v>
      </c>
      <c r="F7" s="4" t="s">
        <v>36</v>
      </c>
      <c r="G7" s="36"/>
      <c r="H7" s="36"/>
      <c r="J7" s="37"/>
      <c r="K7" s="30">
        <f>C7*J7</f>
        <v>0</v>
      </c>
      <c r="M7" s="4" t="s">
        <v>37</v>
      </c>
      <c r="N7" s="4" t="s">
        <v>39</v>
      </c>
    </row>
    <row r="8" spans="1:14" ht="15">
      <c r="A8" s="4">
        <v>10.5</v>
      </c>
      <c r="B8" s="4">
        <v>1025</v>
      </c>
      <c r="C8" s="4">
        <v>4</v>
      </c>
      <c r="D8" s="4"/>
      <c r="E8" s="4" t="s">
        <v>43</v>
      </c>
      <c r="F8" s="4" t="s">
        <v>36</v>
      </c>
      <c r="G8" s="36"/>
      <c r="H8" s="36"/>
      <c r="J8" s="37"/>
      <c r="K8" s="30">
        <f>C8*J7</f>
        <v>0</v>
      </c>
      <c r="M8" s="4" t="s">
        <v>37</v>
      </c>
      <c r="N8" s="4" t="s">
        <v>39</v>
      </c>
    </row>
    <row r="9" spans="1:14" ht="15">
      <c r="A9" s="38">
        <v>20</v>
      </c>
      <c r="B9" s="38">
        <v>2002</v>
      </c>
      <c r="C9" s="38">
        <v>1</v>
      </c>
      <c r="D9" s="39" t="s">
        <v>34</v>
      </c>
      <c r="E9" s="38" t="s">
        <v>44</v>
      </c>
      <c r="F9" s="38" t="s">
        <v>45</v>
      </c>
      <c r="G9" s="40" t="s">
        <v>46</v>
      </c>
      <c r="H9" s="38"/>
      <c r="I9" s="41"/>
      <c r="J9" s="42">
        <v>575.95000000000005</v>
      </c>
      <c r="K9" s="43">
        <f>C9*J9</f>
        <v>575.95000000000005</v>
      </c>
      <c r="L9" s="41"/>
      <c r="M9" s="38" t="s">
        <v>47</v>
      </c>
      <c r="N9" s="38"/>
    </row>
    <row r="10" spans="1:14" ht="15">
      <c r="A10" s="38">
        <v>30</v>
      </c>
      <c r="B10" s="38">
        <v>2001</v>
      </c>
      <c r="C10" s="38">
        <v>1</v>
      </c>
      <c r="D10" s="39" t="s">
        <v>34</v>
      </c>
      <c r="E10" s="38" t="s">
        <v>48</v>
      </c>
      <c r="F10" s="38"/>
      <c r="G10" s="40"/>
      <c r="H10" s="41"/>
      <c r="I10" s="41"/>
      <c r="J10" s="44"/>
      <c r="K10" s="43">
        <f>C10*J10</f>
        <v>0</v>
      </c>
      <c r="L10" s="41"/>
      <c r="M10" s="38"/>
      <c r="N10" s="38" t="s">
        <v>49</v>
      </c>
    </row>
    <row r="11" spans="1:14" ht="15">
      <c r="A11" s="4">
        <v>30.1</v>
      </c>
      <c r="B11" s="4">
        <v>1009</v>
      </c>
      <c r="C11" s="4">
        <v>4</v>
      </c>
      <c r="D11" s="27" t="s">
        <v>50</v>
      </c>
      <c r="E11" s="4" t="s">
        <v>51</v>
      </c>
      <c r="F11" s="4" t="s">
        <v>52</v>
      </c>
      <c r="G11" s="36" t="s">
        <v>53</v>
      </c>
      <c r="H11" s="4"/>
      <c r="J11" s="5">
        <v>6.52</v>
      </c>
      <c r="K11" s="30">
        <f>C11*J11</f>
        <v>26.08</v>
      </c>
      <c r="M11" s="4" t="s">
        <v>52</v>
      </c>
      <c r="N11" s="4"/>
    </row>
    <row r="12" spans="1:14" ht="15">
      <c r="A12" s="4">
        <v>30.2</v>
      </c>
      <c r="B12" s="4">
        <v>1010</v>
      </c>
      <c r="C12" s="4">
        <v>4</v>
      </c>
      <c r="D12" s="27" t="s">
        <v>50</v>
      </c>
      <c r="E12" s="4" t="s">
        <v>54</v>
      </c>
      <c r="F12" s="4" t="s">
        <v>52</v>
      </c>
      <c r="G12" s="36" t="s">
        <v>53</v>
      </c>
      <c r="H12" s="4"/>
      <c r="J12" s="5">
        <v>6.52</v>
      </c>
      <c r="K12" s="30">
        <f>C12*J12</f>
        <v>26.08</v>
      </c>
      <c r="M12" s="4" t="s">
        <v>52</v>
      </c>
      <c r="N12" s="4"/>
    </row>
    <row r="13" spans="1:14" ht="15">
      <c r="A13" s="4">
        <v>30.3</v>
      </c>
      <c r="B13" s="4">
        <v>1011</v>
      </c>
      <c r="C13" s="4">
        <v>4</v>
      </c>
      <c r="D13" s="27" t="s">
        <v>50</v>
      </c>
      <c r="E13" s="4" t="s">
        <v>55</v>
      </c>
      <c r="F13" s="4" t="s">
        <v>52</v>
      </c>
      <c r="G13" s="36" t="s">
        <v>53</v>
      </c>
      <c r="H13" s="4"/>
      <c r="J13" s="5">
        <v>6.52</v>
      </c>
      <c r="K13" s="30">
        <f>C13*J13</f>
        <v>26.08</v>
      </c>
      <c r="M13" s="4" t="s">
        <v>52</v>
      </c>
      <c r="N13" s="4"/>
    </row>
    <row r="14" spans="1:14" ht="15">
      <c r="A14" s="4">
        <v>30.4</v>
      </c>
      <c r="B14" s="4">
        <v>1012</v>
      </c>
      <c r="C14" s="4">
        <v>1</v>
      </c>
      <c r="D14" s="27" t="s">
        <v>50</v>
      </c>
      <c r="E14" s="4" t="s">
        <v>56</v>
      </c>
      <c r="F14" s="4" t="s">
        <v>37</v>
      </c>
      <c r="G14" s="36"/>
      <c r="H14" s="4"/>
      <c r="J14" s="5">
        <v>14.99</v>
      </c>
      <c r="K14" s="30">
        <f>C14*J14</f>
        <v>14.99</v>
      </c>
      <c r="M14" s="4" t="s">
        <v>37</v>
      </c>
      <c r="N14" s="4"/>
    </row>
    <row r="15" spans="1:14" ht="15">
      <c r="A15" s="38">
        <v>40</v>
      </c>
      <c r="B15" s="38">
        <v>2003</v>
      </c>
      <c r="C15" s="38">
        <v>1</v>
      </c>
      <c r="D15" s="39" t="s">
        <v>34</v>
      </c>
      <c r="E15" s="38" t="s">
        <v>57</v>
      </c>
      <c r="F15" s="38"/>
      <c r="G15" s="40"/>
      <c r="H15" s="38"/>
      <c r="I15" s="41"/>
      <c r="J15" s="44"/>
      <c r="K15" s="43">
        <f>C15*J15</f>
        <v>0</v>
      </c>
      <c r="L15" s="41"/>
      <c r="M15" s="38"/>
      <c r="N15" s="38"/>
    </row>
    <row r="16" spans="1:14" ht="15">
      <c r="A16" s="4">
        <v>40.1</v>
      </c>
      <c r="B16" s="4">
        <v>1005</v>
      </c>
      <c r="C16" s="4">
        <v>1</v>
      </c>
      <c r="D16" s="27" t="s">
        <v>50</v>
      </c>
      <c r="E16" s="4" t="s">
        <v>58</v>
      </c>
      <c r="F16" s="4" t="s">
        <v>59</v>
      </c>
      <c r="G16" s="36">
        <v>7130</v>
      </c>
      <c r="H16" s="4"/>
      <c r="J16" s="5">
        <v>18.850000000000001</v>
      </c>
      <c r="K16" s="30">
        <f>C16*J16</f>
        <v>18.850000000000001</v>
      </c>
      <c r="M16" s="4" t="s">
        <v>59</v>
      </c>
      <c r="N16" s="4"/>
    </row>
    <row r="17" spans="1:14" s="62" customFormat="1" ht="15">
      <c r="A17" s="60">
        <v>40.200000000000003</v>
      </c>
      <c r="B17" s="60">
        <v>1006</v>
      </c>
      <c r="C17" s="60">
        <v>2</v>
      </c>
      <c r="D17" s="65" t="s">
        <v>50</v>
      </c>
      <c r="E17" s="60" t="s">
        <v>60</v>
      </c>
      <c r="F17" s="60" t="s">
        <v>59</v>
      </c>
      <c r="G17" s="61">
        <v>7130</v>
      </c>
      <c r="H17" s="60"/>
      <c r="J17" s="66">
        <v>18.850000000000001</v>
      </c>
      <c r="K17" s="64">
        <f>C17*J17</f>
        <v>37.700000000000003</v>
      </c>
      <c r="M17" s="60" t="s">
        <v>59</v>
      </c>
      <c r="N17" s="60"/>
    </row>
    <row r="18" spans="1:14" ht="15">
      <c r="A18" s="4">
        <v>40.299999999999997</v>
      </c>
      <c r="B18" s="4">
        <v>1007</v>
      </c>
      <c r="C18" s="4">
        <v>2</v>
      </c>
      <c r="D18" s="27" t="s">
        <v>50</v>
      </c>
      <c r="E18" s="4" t="s">
        <v>61</v>
      </c>
      <c r="F18" s="4" t="s">
        <v>59</v>
      </c>
      <c r="G18" s="36">
        <v>7130</v>
      </c>
      <c r="H18" s="4"/>
      <c r="J18" s="5">
        <v>18.850000000000001</v>
      </c>
      <c r="K18" s="30">
        <f>C18*J18</f>
        <v>37.700000000000003</v>
      </c>
      <c r="M18" s="4" t="s">
        <v>59</v>
      </c>
      <c r="N18" s="4"/>
    </row>
    <row r="19" spans="1:14" ht="15">
      <c r="A19" s="45">
        <v>40.4</v>
      </c>
      <c r="B19" s="4">
        <v>1016</v>
      </c>
      <c r="C19" s="4">
        <v>4</v>
      </c>
      <c r="D19" s="27" t="s">
        <v>50</v>
      </c>
      <c r="E19" s="4" t="s">
        <v>62</v>
      </c>
      <c r="F19" s="4" t="s">
        <v>63</v>
      </c>
      <c r="G19" s="36">
        <v>3632114</v>
      </c>
      <c r="H19" s="4"/>
      <c r="J19" s="5">
        <v>3.98</v>
      </c>
      <c r="K19" s="30">
        <f>C19*J19</f>
        <v>15.92</v>
      </c>
      <c r="M19" s="4" t="s">
        <v>64</v>
      </c>
      <c r="N19" s="4"/>
    </row>
    <row r="20" spans="1:14" ht="15">
      <c r="A20" s="4">
        <v>40.5</v>
      </c>
      <c r="B20" s="4">
        <v>1013</v>
      </c>
      <c r="C20" s="4">
        <v>2</v>
      </c>
      <c r="D20" s="27" t="s">
        <v>50</v>
      </c>
      <c r="E20" s="4" t="s">
        <v>65</v>
      </c>
      <c r="F20" s="4" t="s">
        <v>66</v>
      </c>
      <c r="G20" s="36">
        <v>1026792</v>
      </c>
      <c r="H20" s="4" t="s">
        <v>8</v>
      </c>
      <c r="J20" s="5">
        <v>6.63</v>
      </c>
      <c r="K20" s="30">
        <f>C20*J20</f>
        <v>13.26</v>
      </c>
      <c r="M20" s="4" t="s">
        <v>64</v>
      </c>
      <c r="N20" s="4"/>
    </row>
    <row r="21" spans="1:14" ht="15">
      <c r="A21" s="4">
        <v>40.6</v>
      </c>
      <c r="B21" s="4">
        <v>1014</v>
      </c>
      <c r="C21" s="4">
        <v>2</v>
      </c>
      <c r="D21" s="27" t="s">
        <v>50</v>
      </c>
      <c r="E21" s="4" t="s">
        <v>67</v>
      </c>
      <c r="F21" s="4" t="s">
        <v>66</v>
      </c>
      <c r="G21" s="36">
        <v>1026856</v>
      </c>
      <c r="H21" s="4" t="s">
        <v>8</v>
      </c>
      <c r="J21" s="5">
        <v>6.63</v>
      </c>
      <c r="K21" s="30">
        <f>C21*J21</f>
        <v>13.26</v>
      </c>
      <c r="M21" s="4" t="s">
        <v>64</v>
      </c>
      <c r="N21" s="4"/>
    </row>
    <row r="22" spans="1:14" ht="15">
      <c r="A22" s="4">
        <v>40.700000000000003</v>
      </c>
      <c r="B22" s="4">
        <v>1008</v>
      </c>
      <c r="C22" s="4">
        <v>1</v>
      </c>
      <c r="D22" s="27" t="s">
        <v>50</v>
      </c>
      <c r="E22" s="33" t="s">
        <v>68</v>
      </c>
      <c r="F22" s="4" t="s">
        <v>69</v>
      </c>
      <c r="G22" s="36"/>
      <c r="H22" s="4"/>
      <c r="J22" s="5">
        <v>9.99</v>
      </c>
      <c r="K22" s="30">
        <f>C22*J22</f>
        <v>9.99</v>
      </c>
      <c r="M22" s="4" t="s">
        <v>37</v>
      </c>
      <c r="N22" s="4"/>
    </row>
    <row r="23" spans="1:14" ht="15">
      <c r="A23" s="38">
        <v>50</v>
      </c>
      <c r="B23" s="38">
        <v>2004</v>
      </c>
      <c r="C23" s="38">
        <v>1</v>
      </c>
      <c r="D23" s="39" t="s">
        <v>34</v>
      </c>
      <c r="E23" s="38" t="s">
        <v>70</v>
      </c>
      <c r="F23" s="38"/>
      <c r="G23" s="40"/>
      <c r="H23" s="38"/>
      <c r="I23" s="41"/>
      <c r="J23" s="44"/>
      <c r="K23" s="43">
        <f>C23*J23</f>
        <v>0</v>
      </c>
      <c r="L23" s="41"/>
      <c r="M23" s="38"/>
      <c r="N23" s="38"/>
    </row>
    <row r="24" spans="1:14" ht="15">
      <c r="A24" s="4">
        <v>50.1</v>
      </c>
      <c r="B24" s="4">
        <v>1026</v>
      </c>
      <c r="C24" s="4">
        <v>8</v>
      </c>
      <c r="D24" s="4"/>
      <c r="E24" s="4" t="s">
        <v>71</v>
      </c>
      <c r="F24" s="4" t="s">
        <v>72</v>
      </c>
      <c r="G24" s="36"/>
      <c r="H24" s="36"/>
      <c r="J24" s="37"/>
      <c r="K24" s="30">
        <f>C24*J24</f>
        <v>0</v>
      </c>
      <c r="M24" s="4" t="s">
        <v>72</v>
      </c>
      <c r="N24" s="4" t="s">
        <v>73</v>
      </c>
    </row>
    <row r="25" spans="1:14" ht="15">
      <c r="A25" s="4">
        <v>50.2</v>
      </c>
      <c r="B25" s="4">
        <v>1003</v>
      </c>
      <c r="C25" s="4">
        <v>4</v>
      </c>
      <c r="D25" s="27" t="s">
        <v>50</v>
      </c>
      <c r="E25" s="4" t="s">
        <v>74</v>
      </c>
      <c r="F25" s="4" t="s">
        <v>75</v>
      </c>
      <c r="G25" s="36"/>
      <c r="H25" s="36"/>
      <c r="J25" s="5">
        <v>14.99</v>
      </c>
      <c r="K25" s="30">
        <f>C25*J25</f>
        <v>59.96</v>
      </c>
      <c r="M25" s="4" t="s">
        <v>37</v>
      </c>
      <c r="N25" s="4"/>
    </row>
    <row r="26" spans="1:14" ht="15">
      <c r="A26" s="4">
        <v>50.3</v>
      </c>
      <c r="B26" s="4">
        <v>1027</v>
      </c>
      <c r="C26" s="4">
        <v>1</v>
      </c>
      <c r="D26" s="4"/>
      <c r="E26" s="4" t="s">
        <v>76</v>
      </c>
      <c r="F26" s="4" t="s">
        <v>72</v>
      </c>
      <c r="G26" s="36"/>
      <c r="H26" s="36"/>
      <c r="J26" s="37"/>
      <c r="K26" s="30">
        <f>C26*J26</f>
        <v>0</v>
      </c>
      <c r="M26" s="4" t="s">
        <v>72</v>
      </c>
      <c r="N26" s="4" t="s">
        <v>73</v>
      </c>
    </row>
    <row r="27" spans="1:14" s="62" customFormat="1" ht="15">
      <c r="A27" s="60">
        <v>50.4</v>
      </c>
      <c r="B27" s="60">
        <v>1028</v>
      </c>
      <c r="C27" s="60">
        <v>1</v>
      </c>
      <c r="D27" s="65" t="s">
        <v>50</v>
      </c>
      <c r="E27" s="60" t="s">
        <v>77</v>
      </c>
      <c r="F27" s="60" t="s">
        <v>78</v>
      </c>
      <c r="G27" s="61" t="s">
        <v>79</v>
      </c>
      <c r="H27" s="61"/>
      <c r="J27" s="63">
        <v>314</v>
      </c>
      <c r="K27" s="64">
        <f>C27*J27</f>
        <v>314</v>
      </c>
      <c r="M27" s="60" t="s">
        <v>78</v>
      </c>
      <c r="N27" s="60"/>
    </row>
    <row r="28" spans="1:14" s="62" customFormat="1" ht="15">
      <c r="A28" s="60">
        <v>50.5</v>
      </c>
      <c r="B28" s="60">
        <v>1029</v>
      </c>
      <c r="C28" s="60">
        <v>1</v>
      </c>
      <c r="D28" s="65" t="s">
        <v>80</v>
      </c>
      <c r="E28" s="60" t="s">
        <v>81</v>
      </c>
      <c r="F28" s="60" t="s">
        <v>72</v>
      </c>
      <c r="G28" s="61"/>
      <c r="H28" s="61"/>
      <c r="J28" s="63"/>
      <c r="K28" s="64">
        <f>C28*J28</f>
        <v>0</v>
      </c>
      <c r="M28" s="60" t="s">
        <v>72</v>
      </c>
      <c r="N28" s="60" t="s">
        <v>73</v>
      </c>
    </row>
    <row r="29" spans="1:14" s="62" customFormat="1" ht="15">
      <c r="A29" s="60">
        <v>50.6</v>
      </c>
      <c r="B29" s="60">
        <v>1030</v>
      </c>
      <c r="C29" s="60">
        <v>1</v>
      </c>
      <c r="D29" s="65" t="s">
        <v>80</v>
      </c>
      <c r="E29" s="60" t="s">
        <v>82</v>
      </c>
      <c r="F29" s="60" t="s">
        <v>72</v>
      </c>
      <c r="G29" s="61"/>
      <c r="H29" s="61"/>
      <c r="J29" s="63"/>
      <c r="K29" s="64">
        <f>C29*J29</f>
        <v>0</v>
      </c>
      <c r="M29" s="60" t="s">
        <v>72</v>
      </c>
      <c r="N29" s="60" t="s">
        <v>73</v>
      </c>
    </row>
    <row r="30" spans="1:14" ht="15">
      <c r="A30" s="4">
        <v>50.7</v>
      </c>
      <c r="B30" s="4">
        <v>1032</v>
      </c>
      <c r="C30" s="4">
        <v>1</v>
      </c>
      <c r="D30" s="27" t="s">
        <v>50</v>
      </c>
      <c r="E30" s="4" t="s">
        <v>83</v>
      </c>
      <c r="F30" s="4" t="s">
        <v>84</v>
      </c>
      <c r="G30" s="36"/>
      <c r="H30" s="36"/>
      <c r="J30" s="37"/>
      <c r="K30" s="30">
        <f>C30*J30</f>
        <v>0</v>
      </c>
      <c r="M30" s="4" t="s">
        <v>37</v>
      </c>
      <c r="N30" s="4"/>
    </row>
    <row r="31" spans="1:14" ht="15">
      <c r="A31" s="38">
        <v>60</v>
      </c>
      <c r="B31" s="38">
        <v>2005</v>
      </c>
      <c r="C31" s="38">
        <v>1</v>
      </c>
      <c r="D31" s="39" t="s">
        <v>34</v>
      </c>
      <c r="E31" s="38" t="s">
        <v>85</v>
      </c>
      <c r="F31" s="38" t="s">
        <v>86</v>
      </c>
      <c r="G31" s="40"/>
      <c r="H31" s="38"/>
      <c r="I31" s="41"/>
      <c r="J31" s="44"/>
      <c r="K31" s="43">
        <f>C31*J31</f>
        <v>0</v>
      </c>
      <c r="L31" s="41"/>
      <c r="M31" s="38"/>
      <c r="N31" s="38"/>
    </row>
    <row r="32" spans="1:14" ht="15">
      <c r="A32" s="38">
        <v>70</v>
      </c>
      <c r="B32" s="38">
        <v>2006</v>
      </c>
      <c r="C32" s="38">
        <v>1</v>
      </c>
      <c r="D32" s="39" t="s">
        <v>34</v>
      </c>
      <c r="E32" s="38" t="s">
        <v>87</v>
      </c>
      <c r="F32" s="38"/>
      <c r="G32" s="40"/>
      <c r="H32" s="38"/>
      <c r="I32" s="41"/>
      <c r="J32" s="44"/>
      <c r="K32" s="43">
        <f>C32*J32</f>
        <v>0</v>
      </c>
      <c r="L32" s="41"/>
      <c r="M32" s="38"/>
      <c r="N32" s="38"/>
    </row>
    <row r="33" spans="1:14" s="62" customFormat="1" ht="15">
      <c r="A33" s="60">
        <v>70.099999999999994</v>
      </c>
      <c r="B33" s="60">
        <v>1031</v>
      </c>
      <c r="C33" s="60">
        <v>1</v>
      </c>
      <c r="D33" s="65" t="s">
        <v>50</v>
      </c>
      <c r="E33" s="60" t="s">
        <v>88</v>
      </c>
      <c r="F33" s="60" t="s">
        <v>89</v>
      </c>
      <c r="G33" s="61" t="s">
        <v>90</v>
      </c>
      <c r="H33" s="60"/>
      <c r="J33" s="63">
        <v>19.989999999999998</v>
      </c>
      <c r="K33" s="64">
        <f>C33*J33</f>
        <v>19.989999999999998</v>
      </c>
      <c r="M33" s="60" t="s">
        <v>37</v>
      </c>
      <c r="N33" s="60"/>
    </row>
    <row r="34" spans="1:14" s="62" customFormat="1" ht="15">
      <c r="A34" s="60">
        <v>70.2</v>
      </c>
      <c r="B34" s="60">
        <v>1018</v>
      </c>
      <c r="C34" s="60">
        <v>1</v>
      </c>
      <c r="D34" s="65" t="s">
        <v>50</v>
      </c>
      <c r="E34" s="60" t="s">
        <v>91</v>
      </c>
      <c r="F34" s="60" t="s">
        <v>92</v>
      </c>
      <c r="G34" s="61" t="s">
        <v>93</v>
      </c>
      <c r="H34" s="60"/>
      <c r="J34" s="66">
        <v>29.95</v>
      </c>
      <c r="K34" s="64">
        <f>C34*J34</f>
        <v>29.95</v>
      </c>
      <c r="M34" s="60" t="s">
        <v>92</v>
      </c>
      <c r="N34" s="60"/>
    </row>
    <row r="35" spans="1:14" s="62" customFormat="1" ht="15">
      <c r="A35" s="60">
        <v>70.3</v>
      </c>
      <c r="B35" s="60">
        <v>1019</v>
      </c>
      <c r="C35" s="60">
        <v>1</v>
      </c>
      <c r="D35" s="65" t="s">
        <v>50</v>
      </c>
      <c r="E35" s="60" t="s">
        <v>94</v>
      </c>
      <c r="F35" s="60" t="s">
        <v>95</v>
      </c>
      <c r="G35" s="61"/>
      <c r="H35" s="60"/>
      <c r="J35" s="63">
        <v>11.71</v>
      </c>
      <c r="K35" s="64">
        <f>C35*J35</f>
        <v>11.71</v>
      </c>
      <c r="M35" s="60" t="s">
        <v>37</v>
      </c>
      <c r="N35" s="60"/>
    </row>
    <row r="36" spans="1:14" ht="15">
      <c r="A36" s="4">
        <v>70.400000000000006</v>
      </c>
      <c r="B36" s="4">
        <v>1020</v>
      </c>
      <c r="C36" s="4">
        <v>1</v>
      </c>
      <c r="D36" s="4" t="s">
        <v>50</v>
      </c>
      <c r="E36" s="4" t="s">
        <v>96</v>
      </c>
      <c r="F36" s="4" t="s">
        <v>97</v>
      </c>
      <c r="G36" s="36" t="s">
        <v>98</v>
      </c>
      <c r="H36" s="4"/>
      <c r="J36" s="37">
        <v>44</v>
      </c>
      <c r="K36" s="30">
        <f>C36*J36</f>
        <v>44</v>
      </c>
      <c r="M36" s="4" t="s">
        <v>97</v>
      </c>
      <c r="N36" s="4"/>
    </row>
    <row r="37" spans="1:14" ht="15">
      <c r="A37" s="4"/>
      <c r="B37" s="4"/>
      <c r="C37" s="4"/>
      <c r="D37" s="27"/>
      <c r="E37" s="4"/>
      <c r="F37" s="4"/>
      <c r="G37" s="36"/>
      <c r="H37" s="4"/>
      <c r="J37" s="37"/>
      <c r="K37" s="30">
        <f>C37*J37</f>
        <v>0</v>
      </c>
      <c r="M37" s="4"/>
      <c r="N37" s="4"/>
    </row>
    <row r="38" spans="1:14" ht="15">
      <c r="A38" s="4"/>
      <c r="B38" s="4"/>
      <c r="C38" s="4"/>
      <c r="D38" s="27"/>
      <c r="E38" s="4"/>
      <c r="F38" s="4"/>
      <c r="G38" s="36"/>
      <c r="H38" s="4"/>
      <c r="J38" s="37"/>
      <c r="K38" s="30">
        <f>C38*J38</f>
        <v>0</v>
      </c>
      <c r="M38" s="4"/>
      <c r="N38" s="4"/>
    </row>
    <row r="39" spans="1:14" ht="15">
      <c r="A39" s="4"/>
      <c r="B39" s="4"/>
      <c r="C39" s="4"/>
      <c r="D39" s="27"/>
      <c r="E39" s="4"/>
      <c r="F39" s="4"/>
      <c r="G39" s="36"/>
      <c r="H39" s="4"/>
      <c r="J39" s="37"/>
      <c r="K39" s="30">
        <f>C39*J39</f>
        <v>0</v>
      </c>
      <c r="M39" s="4"/>
      <c r="N39" s="4"/>
    </row>
    <row r="40" spans="1:14" ht="15">
      <c r="A40" s="4"/>
      <c r="B40" s="4"/>
      <c r="C40" s="4"/>
      <c r="D40" s="27"/>
      <c r="E40" s="4"/>
      <c r="F40" s="4"/>
      <c r="G40" s="36"/>
      <c r="H40" s="4"/>
      <c r="J40" s="37"/>
      <c r="K40" s="30">
        <f>C40*J40</f>
        <v>0</v>
      </c>
      <c r="M40" s="4"/>
      <c r="N40" s="4"/>
    </row>
    <row r="41" spans="1:14" ht="15">
      <c r="A41" s="4"/>
      <c r="B41" s="4"/>
      <c r="C41" s="4"/>
      <c r="D41" s="27"/>
      <c r="E41" s="4"/>
      <c r="F41" s="4"/>
      <c r="G41" s="36"/>
      <c r="H41" s="4"/>
      <c r="J41" s="37"/>
      <c r="K41" s="30">
        <f>C41*J41</f>
        <v>0</v>
      </c>
      <c r="M41" s="4"/>
      <c r="N41" s="4"/>
    </row>
    <row r="42" spans="1:14" ht="15">
      <c r="A42" s="4"/>
      <c r="B42" s="4"/>
      <c r="C42" s="4"/>
      <c r="D42" s="27"/>
      <c r="E42" s="4"/>
      <c r="F42" s="4"/>
      <c r="G42" s="36"/>
      <c r="H42" s="4"/>
      <c r="J42" s="37"/>
      <c r="K42" s="30">
        <f>C42*J42</f>
        <v>0</v>
      </c>
      <c r="M42" s="4"/>
      <c r="N42" s="4"/>
    </row>
    <row r="43" spans="1:14" ht="15">
      <c r="A43" s="4"/>
      <c r="B43" s="4"/>
      <c r="C43" s="4"/>
      <c r="D43" s="27"/>
      <c r="E43" s="4"/>
      <c r="F43" s="4"/>
      <c r="G43" s="36"/>
      <c r="H43" s="4"/>
      <c r="J43" s="37"/>
      <c r="K43" s="30">
        <f>C43*J43</f>
        <v>0</v>
      </c>
      <c r="M43" s="4"/>
      <c r="N43" s="4"/>
    </row>
    <row r="44" spans="1:14" ht="15">
      <c r="A44" s="4"/>
      <c r="B44" s="4"/>
      <c r="C44" s="4"/>
      <c r="D44" s="27"/>
      <c r="E44" s="4"/>
      <c r="F44" s="4"/>
      <c r="G44" s="36"/>
      <c r="H44" s="4"/>
      <c r="J44" s="37"/>
      <c r="K44" s="30">
        <f>C44*J44</f>
        <v>0</v>
      </c>
      <c r="M44" s="4"/>
      <c r="N44" s="4"/>
    </row>
    <row r="45" spans="1:14" ht="15">
      <c r="A45" s="4"/>
      <c r="B45" s="4"/>
      <c r="C45" s="4"/>
      <c r="D45" s="27"/>
      <c r="E45" s="4"/>
      <c r="F45" s="4"/>
      <c r="G45" s="36"/>
      <c r="H45" s="4"/>
      <c r="J45" s="37"/>
      <c r="K45" s="30">
        <f>C45*J45</f>
        <v>0</v>
      </c>
      <c r="M45" s="4"/>
      <c r="N45" s="4"/>
    </row>
    <row r="46" spans="1:14" ht="15">
      <c r="A46" s="4"/>
      <c r="B46" s="4"/>
      <c r="C46" s="4"/>
      <c r="D46" s="27"/>
      <c r="E46" s="4"/>
      <c r="F46" s="4"/>
      <c r="G46" s="36"/>
      <c r="H46" s="4"/>
      <c r="J46" s="37"/>
      <c r="K46" s="30">
        <f>C46*J46</f>
        <v>0</v>
      </c>
      <c r="M46" s="4"/>
      <c r="N46" s="4"/>
    </row>
    <row r="47" spans="1:14" ht="15"/>
    <row r="50" ht="15"/>
  </sheetData>
  <sortState xmlns:xlrd2="http://schemas.microsoft.com/office/spreadsheetml/2017/richdata2" ref="A1:N49">
    <sortCondition ref="A1:A49"/>
  </sortState>
  <hyperlinks>
    <hyperlink ref="F36" r:id="rId1" location="Tab_Downloads" display="https://www.phidgets.com/?prodid=346&amp;srsltid=AfmBOooFWXo8dapjC8R9jIE6-4_0_HW-qppZKIK4A8caOusE66_Xe7N8#Tab_Downloads " xr:uid="{A53143EF-56C6-40CD-9358-A83DE8423AC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workbookViewId="0">
      <selection activeCell="E9" sqref="E9"/>
    </sheetView>
  </sheetViews>
  <sheetFormatPr defaultRowHeight="14.45"/>
  <cols>
    <col min="1" max="1" width="8.28515625" customWidth="1"/>
    <col min="2" max="2" width="12.5703125" customWidth="1"/>
    <col min="4" max="4" width="9.5703125" customWidth="1"/>
    <col min="5" max="5" width="30.42578125" customWidth="1"/>
    <col min="6" max="6" width="12.28515625" bestFit="1" customWidth="1"/>
    <col min="7" max="7" width="9.5703125" customWidth="1"/>
    <col min="8" max="8" width="25.42578125" customWidth="1"/>
    <col min="9" max="9" width="2.140625" customWidth="1"/>
    <col min="12" max="12" width="2.140625" customWidth="1"/>
    <col min="13" max="13" width="15" customWidth="1"/>
    <col min="14" max="14" width="49.28515625" customWidth="1"/>
  </cols>
  <sheetData>
    <row r="1" spans="1:14" ht="23.45">
      <c r="A1" s="1" t="s">
        <v>1</v>
      </c>
      <c r="B1" s="1"/>
      <c r="J1" s="26" t="s">
        <v>26</v>
      </c>
      <c r="M1" s="26" t="s">
        <v>28</v>
      </c>
    </row>
    <row r="2" spans="1:14" ht="28.9">
      <c r="A2" s="2" t="s">
        <v>8</v>
      </c>
      <c r="B2" s="2" t="s">
        <v>10</v>
      </c>
      <c r="C2" s="2" t="s">
        <v>12</v>
      </c>
      <c r="D2" s="2" t="s">
        <v>29</v>
      </c>
      <c r="E2" s="3" t="s">
        <v>16</v>
      </c>
      <c r="F2" s="3" t="s">
        <v>18</v>
      </c>
      <c r="G2" s="2" t="s">
        <v>20</v>
      </c>
      <c r="H2" s="2" t="s">
        <v>22</v>
      </c>
      <c r="I2" s="25"/>
      <c r="J2" s="3" t="s">
        <v>30</v>
      </c>
      <c r="K2" s="2" t="s">
        <v>31</v>
      </c>
      <c r="L2" s="25"/>
      <c r="M2" s="3" t="s">
        <v>32</v>
      </c>
      <c r="N2" s="3" t="s">
        <v>33</v>
      </c>
    </row>
    <row r="3" spans="1:14">
      <c r="A3" s="4">
        <v>10</v>
      </c>
      <c r="B3" s="4">
        <v>1000</v>
      </c>
      <c r="C3" s="4">
        <v>4</v>
      </c>
      <c r="D3" s="27" t="s">
        <v>99</v>
      </c>
      <c r="E3" s="4" t="s">
        <v>100</v>
      </c>
      <c r="F3" s="4"/>
      <c r="G3" s="4"/>
      <c r="H3" s="4"/>
      <c r="J3" s="5">
        <f>SUMPRODUCT(C4:C6,J4:J6)</f>
        <v>123</v>
      </c>
      <c r="K3" s="30">
        <f>J3*C3</f>
        <v>492</v>
      </c>
      <c r="M3" s="4"/>
      <c r="N3" s="4"/>
    </row>
    <row r="4" spans="1:14">
      <c r="A4" s="4">
        <v>10.1</v>
      </c>
      <c r="B4" s="4">
        <v>1005</v>
      </c>
      <c r="C4" s="4">
        <v>1</v>
      </c>
      <c r="D4" s="4" t="s">
        <v>101</v>
      </c>
      <c r="E4" s="4" t="s">
        <v>102</v>
      </c>
      <c r="F4" s="4" t="s">
        <v>103</v>
      </c>
      <c r="G4" s="4">
        <v>12345</v>
      </c>
      <c r="H4" s="4"/>
      <c r="J4" s="5">
        <v>100</v>
      </c>
      <c r="K4" s="30"/>
      <c r="M4" s="4" t="s">
        <v>104</v>
      </c>
      <c r="N4" s="4"/>
    </row>
    <row r="5" spans="1:14">
      <c r="A5" s="4">
        <v>10.199999999999999</v>
      </c>
      <c r="B5" s="4">
        <v>1010</v>
      </c>
      <c r="C5" s="4">
        <v>1</v>
      </c>
      <c r="D5" s="4" t="s">
        <v>101</v>
      </c>
      <c r="E5" s="4" t="s">
        <v>105</v>
      </c>
      <c r="F5" s="4" t="s">
        <v>106</v>
      </c>
      <c r="G5" s="4">
        <v>4456</v>
      </c>
      <c r="H5" s="4"/>
      <c r="J5" s="5">
        <v>20</v>
      </c>
      <c r="K5" s="30"/>
      <c r="M5" s="4" t="s">
        <v>104</v>
      </c>
      <c r="N5" s="4"/>
    </row>
    <row r="6" spans="1:14">
      <c r="A6" s="4">
        <v>10.3</v>
      </c>
      <c r="B6" s="4">
        <v>1034</v>
      </c>
      <c r="C6" s="4">
        <v>3</v>
      </c>
      <c r="D6" s="4" t="s">
        <v>101</v>
      </c>
      <c r="E6" s="4" t="s">
        <v>107</v>
      </c>
      <c r="F6" s="4" t="s">
        <v>108</v>
      </c>
      <c r="G6" s="4">
        <v>2345</v>
      </c>
      <c r="H6" s="4"/>
      <c r="J6" s="5">
        <v>1</v>
      </c>
      <c r="K6" s="30"/>
      <c r="M6" s="4" t="s">
        <v>109</v>
      </c>
      <c r="N6" s="4"/>
    </row>
    <row r="7" spans="1:14">
      <c r="A7" s="4"/>
      <c r="B7" s="4"/>
      <c r="C7" s="4"/>
      <c r="D7" s="4"/>
      <c r="E7" s="4"/>
      <c r="F7" s="4"/>
      <c r="G7" s="4"/>
      <c r="H7" s="4"/>
      <c r="J7" s="5"/>
      <c r="K7" s="4"/>
      <c r="M7" s="4"/>
      <c r="N7" s="4"/>
    </row>
    <row r="8" spans="1:14">
      <c r="A8" s="4">
        <v>20</v>
      </c>
      <c r="B8" s="4">
        <v>1001</v>
      </c>
      <c r="C8" s="4">
        <v>1</v>
      </c>
      <c r="D8" s="4" t="s">
        <v>101</v>
      </c>
      <c r="E8" s="4" t="s">
        <v>110</v>
      </c>
      <c r="F8" s="4" t="s">
        <v>111</v>
      </c>
      <c r="G8" s="4" t="s">
        <v>112</v>
      </c>
      <c r="H8" s="4"/>
      <c r="J8" s="5">
        <v>25</v>
      </c>
      <c r="K8" s="30">
        <f>J8*C8</f>
        <v>25</v>
      </c>
      <c r="M8" s="4" t="s">
        <v>113</v>
      </c>
      <c r="N8" s="4" t="s">
        <v>114</v>
      </c>
    </row>
    <row r="9" spans="1:14">
      <c r="A9" s="4">
        <v>30</v>
      </c>
      <c r="B9" s="4">
        <v>1002</v>
      </c>
      <c r="C9" s="4">
        <v>1</v>
      </c>
      <c r="D9" s="4" t="s">
        <v>101</v>
      </c>
      <c r="E9" s="4" t="s">
        <v>115</v>
      </c>
      <c r="F9" s="4" t="s">
        <v>116</v>
      </c>
      <c r="G9" s="4" t="s">
        <v>117</v>
      </c>
      <c r="H9" s="4"/>
      <c r="J9" s="5">
        <v>20</v>
      </c>
      <c r="K9" s="30">
        <f>J9*C9</f>
        <v>20</v>
      </c>
      <c r="M9" s="4" t="s">
        <v>113</v>
      </c>
      <c r="N9" s="4"/>
    </row>
    <row r="10" spans="1:14">
      <c r="A10" s="4"/>
      <c r="B10" s="4"/>
      <c r="C10" s="4"/>
      <c r="D10" s="4"/>
      <c r="E10" s="4"/>
      <c r="F10" s="4"/>
      <c r="G10" s="4"/>
      <c r="H10" s="4"/>
      <c r="J10" s="5"/>
      <c r="K10" s="30"/>
      <c r="M10" s="4"/>
      <c r="N10" s="4"/>
    </row>
    <row r="11" spans="1:14">
      <c r="A11" s="4">
        <v>40</v>
      </c>
      <c r="B11" s="4">
        <v>1012</v>
      </c>
      <c r="C11" s="4">
        <v>1</v>
      </c>
      <c r="D11" s="27" t="s">
        <v>99</v>
      </c>
      <c r="E11" s="4" t="s">
        <v>118</v>
      </c>
      <c r="F11" s="4"/>
      <c r="G11" s="4"/>
      <c r="H11" s="4"/>
      <c r="J11" s="5">
        <f>SUMPRODUCT(C12:C17,J12:J17)</f>
        <v>425</v>
      </c>
      <c r="K11" s="30">
        <f>J11*C11</f>
        <v>425</v>
      </c>
      <c r="M11" s="4"/>
      <c r="N11" s="4"/>
    </row>
    <row r="12" spans="1:14">
      <c r="A12" s="4">
        <v>40.1</v>
      </c>
      <c r="B12" s="4">
        <v>1004</v>
      </c>
      <c r="C12" s="4">
        <v>2</v>
      </c>
      <c r="D12" s="4" t="s">
        <v>101</v>
      </c>
      <c r="E12" s="4" t="s">
        <v>119</v>
      </c>
      <c r="F12" s="4" t="s">
        <v>120</v>
      </c>
      <c r="G12" s="4" t="s">
        <v>121</v>
      </c>
      <c r="H12" s="4"/>
      <c r="J12" s="5">
        <v>40</v>
      </c>
      <c r="K12" s="30"/>
      <c r="M12" s="4" t="s">
        <v>122</v>
      </c>
      <c r="N12" s="4" t="s">
        <v>123</v>
      </c>
    </row>
    <row r="13" spans="1:14">
      <c r="A13" s="4">
        <v>40.200000000000003</v>
      </c>
      <c r="B13" s="4">
        <v>1006</v>
      </c>
      <c r="C13" s="4">
        <v>1</v>
      </c>
      <c r="D13" s="4" t="s">
        <v>101</v>
      </c>
      <c r="E13" s="4" t="s">
        <v>124</v>
      </c>
      <c r="F13" s="4" t="s">
        <v>111</v>
      </c>
      <c r="G13" s="4"/>
      <c r="H13" s="4"/>
      <c r="J13" s="5">
        <v>30</v>
      </c>
      <c r="K13" s="30"/>
      <c r="M13" s="4" t="s">
        <v>122</v>
      </c>
      <c r="N13" s="4"/>
    </row>
    <row r="14" spans="1:14">
      <c r="A14" s="4">
        <v>40.299999999999997</v>
      </c>
      <c r="B14" s="4">
        <v>1036</v>
      </c>
      <c r="C14" s="4">
        <v>10</v>
      </c>
      <c r="D14" s="4" t="s">
        <v>101</v>
      </c>
      <c r="E14" s="4" t="s">
        <v>125</v>
      </c>
      <c r="F14" s="4" t="s">
        <v>108</v>
      </c>
      <c r="G14" s="4">
        <v>3425</v>
      </c>
      <c r="H14" s="4"/>
      <c r="J14" s="5">
        <v>0.5</v>
      </c>
      <c r="K14" s="30"/>
      <c r="M14" s="4" t="s">
        <v>109</v>
      </c>
      <c r="N14" s="4"/>
    </row>
    <row r="15" spans="1:14">
      <c r="A15" s="4">
        <v>40.4</v>
      </c>
      <c r="B15" s="4">
        <v>1011</v>
      </c>
      <c r="C15" s="4">
        <v>2</v>
      </c>
      <c r="D15" s="4" t="s">
        <v>101</v>
      </c>
      <c r="E15" s="4" t="s">
        <v>126</v>
      </c>
      <c r="F15" s="4" t="s">
        <v>127</v>
      </c>
      <c r="G15" s="4" t="s">
        <v>128</v>
      </c>
      <c r="H15" s="4"/>
      <c r="J15" s="5">
        <v>75</v>
      </c>
      <c r="K15" s="30"/>
      <c r="M15" s="4" t="s">
        <v>129</v>
      </c>
      <c r="N15" s="4" t="s">
        <v>130</v>
      </c>
    </row>
    <row r="16" spans="1:14">
      <c r="A16" s="4">
        <v>40.5</v>
      </c>
      <c r="B16" s="4">
        <v>1012</v>
      </c>
      <c r="C16" s="4">
        <v>2</v>
      </c>
      <c r="D16" s="4" t="s">
        <v>101</v>
      </c>
      <c r="E16" s="4" t="s">
        <v>131</v>
      </c>
      <c r="F16" s="4" t="s">
        <v>127</v>
      </c>
      <c r="G16" s="4" t="s">
        <v>132</v>
      </c>
      <c r="H16" s="4"/>
      <c r="J16" s="5">
        <v>75</v>
      </c>
      <c r="K16" s="30"/>
      <c r="M16" s="4" t="s">
        <v>129</v>
      </c>
      <c r="N16" s="4" t="s">
        <v>130</v>
      </c>
    </row>
    <row r="17" spans="1:14">
      <c r="A17" s="4">
        <v>40.6</v>
      </c>
      <c r="B17" s="4">
        <v>1013</v>
      </c>
      <c r="C17" s="4">
        <v>1</v>
      </c>
      <c r="D17" s="4" t="s">
        <v>101</v>
      </c>
      <c r="E17" s="4" t="s">
        <v>133</v>
      </c>
      <c r="F17" s="4" t="s">
        <v>134</v>
      </c>
      <c r="G17" s="4" t="s">
        <v>135</v>
      </c>
      <c r="H17" s="4"/>
      <c r="J17" s="6">
        <v>10</v>
      </c>
      <c r="K17" s="30"/>
      <c r="M17" s="4" t="s">
        <v>129</v>
      </c>
      <c r="N17" s="4" t="s">
        <v>130</v>
      </c>
    </row>
    <row r="18" spans="1:14">
      <c r="A18" s="4"/>
      <c r="B18" s="4"/>
      <c r="C18" s="4"/>
      <c r="D18" s="4"/>
      <c r="E18" s="4"/>
      <c r="F18" s="4"/>
      <c r="G18" s="4"/>
      <c r="H18" s="4"/>
      <c r="J18" s="5"/>
      <c r="K18" s="4"/>
      <c r="M18" s="4"/>
      <c r="N18" s="4"/>
    </row>
    <row r="19" spans="1:14">
      <c r="A19" s="4">
        <v>50</v>
      </c>
      <c r="B19" s="4">
        <v>1014</v>
      </c>
      <c r="C19" s="4">
        <v>0.1</v>
      </c>
      <c r="D19" s="4" t="s">
        <v>101</v>
      </c>
      <c r="E19" s="4" t="s">
        <v>136</v>
      </c>
      <c r="F19" s="4" t="s">
        <v>137</v>
      </c>
      <c r="G19" s="4">
        <v>4523</v>
      </c>
      <c r="H19" s="4"/>
      <c r="J19" s="5">
        <v>10</v>
      </c>
      <c r="K19" s="30">
        <f>J19*C19</f>
        <v>1</v>
      </c>
      <c r="M19" s="4" t="s">
        <v>138</v>
      </c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J20" s="5"/>
      <c r="K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J21" s="5"/>
      <c r="K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J22" s="5"/>
      <c r="K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J23" s="5"/>
      <c r="K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J24" s="5"/>
      <c r="K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J25" s="5"/>
      <c r="K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J26" s="5"/>
      <c r="K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J27" s="5"/>
      <c r="K27" s="4"/>
      <c r="M27" s="4"/>
      <c r="N27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708373-a25e-443b-a8d0-0536092949a0" xsi:nil="true"/>
    <lcf76f155ced4ddcb4097134ff3c332f xmlns="1634752a-a613-4398-a360-f487231aa6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5E7E0E531E94994381BE3B6E42323" ma:contentTypeVersion="13" ma:contentTypeDescription="Create a new document." ma:contentTypeScope="" ma:versionID="d474c89c2c4b816920338ad869eff1c0">
  <xsd:schema xmlns:xsd="http://www.w3.org/2001/XMLSchema" xmlns:xs="http://www.w3.org/2001/XMLSchema" xmlns:p="http://schemas.microsoft.com/office/2006/metadata/properties" xmlns:ns2="1634752a-a613-4398-a360-f487231aa692" xmlns:ns3="8e708373-a25e-443b-a8d0-0536092949a0" targetNamespace="http://schemas.microsoft.com/office/2006/metadata/properties" ma:root="true" ma:fieldsID="7b47a17d4878393dc35b05add4a78adc" ns2:_="" ns3:_="">
    <xsd:import namespace="1634752a-a613-4398-a360-f487231aa692"/>
    <xsd:import namespace="8e708373-a25e-443b-a8d0-053609294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4752a-a613-4398-a360-f487231a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08373-a25e-443b-a8d0-0536092949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b6036f-eacd-49be-af27-af3a9197e5eb}" ma:internalName="TaxCatchAll" ma:showField="CatchAllData" ma:web="8e708373-a25e-443b-a8d0-053609294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FF83F-779B-4941-B181-603A844B8AB7}"/>
</file>

<file path=customXml/itemProps2.xml><?xml version="1.0" encoding="utf-8"?>
<ds:datastoreItem xmlns:ds="http://schemas.openxmlformats.org/officeDocument/2006/customXml" ds:itemID="{37C0CF92-ED82-44D6-9C17-35E915D4442B}"/>
</file>

<file path=customXml/itemProps3.xml><?xml version="1.0" encoding="utf-8"?>
<ds:datastoreItem xmlns:ds="http://schemas.openxmlformats.org/officeDocument/2006/customXml" ds:itemID="{679E90E3-6090-4642-9BB6-E6D976CA0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Vermont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Dustin Rand</dc:creator>
  <cp:keywords/>
  <dc:description/>
  <cp:lastModifiedBy>Andie Brown</cp:lastModifiedBy>
  <cp:revision/>
  <dcterms:created xsi:type="dcterms:W3CDTF">2016-10-26T01:35:18Z</dcterms:created>
  <dcterms:modified xsi:type="dcterms:W3CDTF">2026-04-29T20:40:03Z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0x010100EC65E7E0E531E94994381BE3B6E42323</vt:lpwstr>
  </property>
  <property fmtid="{D5CDD505-2E9C-101B-9397-08002B2CF9AE}" pid="3" name="MediaServiceImageTags">
    <vt:lpwstr/>
  </property>
</Properties>
</file>